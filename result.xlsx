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<sst xmlns="http://schemas.openxmlformats.org/spreadsheetml/2006/main" count="324" uniqueCount="42">
  <si>
    <t>Metro-Traffic -- verify</t>
  </si>
  <si>
    <t>Model</t>
  </si>
  <si>
    <t>Metro-Traffic (Deactivate ratio 7.76%)rt10-id30</t>
  </si>
  <si>
    <t>Metro-Traffic (Deactivate ratio 7.76%)rt30-id50</t>
  </si>
  <si>
    <t>Metro-Traffic (Deactivate ratio 7.76%)差值</t>
  </si>
  <si>
    <t>Holiday</t>
  </si>
  <si>
    <t>Non-Holiday</t>
  </si>
  <si>
    <t>Overall</t>
  </si>
  <si>
    <t>MAE</t>
  </si>
  <si>
    <t>RMSE</t>
  </si>
  <si>
    <t>WMAPE</t>
  </si>
  <si>
    <t>Original</t>
  </si>
  <si>
    <t>D-Random</t>
  </si>
  <si>
    <t>D-PN</t>
  </si>
  <si>
    <t>Pedestrian -- verify</t>
  </si>
  <si>
    <t>Pedestrian (Deactivate ratio 9.77%)rt10-id30</t>
  </si>
  <si>
    <t>Pedestrian (Deactivate ratio 9.77%)rt30-id50</t>
  </si>
  <si>
    <t>Pedestrian (Deactivate ratio 9.77%)差值</t>
  </si>
  <si>
    <t>finetune</t>
  </si>
  <si>
    <t>微调rt10-id30select_radio=0.5</t>
  </si>
  <si>
    <t>微调rt30-id50select_radio=0.5</t>
  </si>
  <si>
    <t>微调差值</t>
  </si>
  <si>
    <t>Metro-Traffic</t>
  </si>
  <si>
    <t>Pedestrian</t>
  </si>
  <si>
    <t>微调rt10-id30select_radio=0.7</t>
  </si>
  <si>
    <t>微调rt30-id50select_radio=0.7</t>
  </si>
  <si>
    <t>finetune and retrain</t>
  </si>
  <si>
    <t>对假期神经元进行微调，然后解冻所有神经元，用全类型样本重新训练rt10-id30select_ratio=0.5</t>
  </si>
  <si>
    <t>对假期神经元进行微调，然后解冻所有神经元，用全类型样本重新训练rt30-id50select_ratio=0.5</t>
  </si>
  <si>
    <t>对假期神经元进行微调，然后解冻所有神经元，用全类型样本重新训练差值</t>
  </si>
  <si>
    <t>对假期神经元进行微调，然后解冻所有神经元，用全类型样本重新训练rt10-id30select_ratio=0.7</t>
  </si>
  <si>
    <t>对假期神经元进行微调，然后解冻所有神经元，用全类型样本重新训练rt30-id50select_ratio=0.7</t>
  </si>
  <si>
    <t>classifier</t>
  </si>
  <si>
    <t>分类</t>
  </si>
  <si>
    <t>train_loss</t>
  </si>
  <si>
    <t>val_loss</t>
  </si>
  <si>
    <t>train_acc</t>
  </si>
  <si>
    <t>val_acc</t>
  </si>
  <si>
    <t>12h train</t>
  </si>
  <si>
    <t>数据集阈值为12h训练rt10-id30</t>
  </si>
  <si>
    <t>数据集阈值为12h训练rt30-id50</t>
  </si>
  <si>
    <t>数据集阈值为12h训练差值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</si>
</sst>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1">
    <font>
      <sz val="11"/>
      <color theme="1"/>
      <name val="等线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3" applyNumberFormat="0" applyFill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5" applyNumberFormat="0" applyAlignment="0" applyProtection="0">
      <alignment vertical="center"/>
    </xf>
    <xf numFmtId="0" fontId="11" fillId="8" borderId="26" applyNumberFormat="0" applyAlignment="0" applyProtection="0">
      <alignment vertical="center"/>
    </xf>
    <xf numFmtId="0" fontId="12" fillId="8" borderId="25" applyNumberFormat="0" applyAlignment="0" applyProtection="0">
      <alignment vertical="center"/>
    </xf>
    <xf numFmtId="0" fontId="13" fillId="9" borderId="27" applyNumberFormat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2" borderId="14" xfId="0" applyFill="1" applyBorder="1">
      <alignment vertical="center"/>
    </xf>
    <xf numFmtId="176" fontId="0" fillId="0" borderId="8" xfId="0" applyNumberFormat="1" applyBorder="1" applyAlignment="1">
      <alignment horizontal="right" vertical="center"/>
    </xf>
    <xf numFmtId="176" fontId="0" fillId="0" borderId="8" xfId="0" applyNumberFormat="1" applyBorder="1">
      <alignment vertical="center"/>
    </xf>
    <xf numFmtId="10" fontId="0" fillId="3" borderId="8" xfId="0" applyNumberFormat="1" applyFill="1" applyBorder="1">
      <alignment vertical="center"/>
    </xf>
    <xf numFmtId="176" fontId="0" fillId="3" borderId="8" xfId="0" applyNumberFormat="1" applyFill="1" applyBorder="1">
      <alignment vertical="center"/>
    </xf>
    <xf numFmtId="176" fontId="0" fillId="3" borderId="8" xfId="0" applyNumberFormat="1" applyFill="1" applyBorder="1" applyAlignment="1">
      <alignment horizontal="right" vertical="center"/>
    </xf>
    <xf numFmtId="10" fontId="0" fillId="0" borderId="8" xfId="0" applyNumberFormat="1" applyBorder="1">
      <alignment vertical="center"/>
    </xf>
    <xf numFmtId="10" fontId="0" fillId="3" borderId="11" xfId="0" applyNumberFormat="1" applyFill="1" applyBorder="1">
      <alignment vertical="center"/>
    </xf>
    <xf numFmtId="0" fontId="0" fillId="4" borderId="8" xfId="0" applyFill="1" applyBorder="1">
      <alignment vertical="center"/>
    </xf>
    <xf numFmtId="176" fontId="0" fillId="4" borderId="8" xfId="0" applyNumberFormat="1" applyFill="1" applyBorder="1" applyAlignment="1">
      <alignment horizontal="right" vertical="center"/>
    </xf>
    <xf numFmtId="10" fontId="0" fillId="4" borderId="8" xfId="0" applyNumberFormat="1" applyFill="1" applyBorder="1" applyAlignment="1">
      <alignment horizontal="right" vertical="center"/>
    </xf>
    <xf numFmtId="10" fontId="0" fillId="0" borderId="11" xfId="0" applyNumberFormat="1" applyBorder="1">
      <alignment vertical="center"/>
    </xf>
    <xf numFmtId="0" fontId="0" fillId="0" borderId="15" xfId="0" applyBorder="1">
      <alignment vertical="center"/>
    </xf>
    <xf numFmtId="176" fontId="0" fillId="0" borderId="16" xfId="0" applyNumberFormat="1" applyBorder="1">
      <alignment vertical="center"/>
    </xf>
    <xf numFmtId="10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0" fontId="0" fillId="2" borderId="16" xfId="0" applyFill="1" applyBorder="1">
      <alignment vertical="center"/>
    </xf>
    <xf numFmtId="176" fontId="0" fillId="3" borderId="16" xfId="0" applyNumberFormat="1" applyFill="1" applyBorder="1">
      <alignment vertical="center"/>
    </xf>
    <xf numFmtId="10" fontId="0" fillId="3" borderId="16" xfId="0" applyNumberFormat="1" applyFill="1" applyBorder="1">
      <alignment vertical="center"/>
    </xf>
    <xf numFmtId="10" fontId="0" fillId="3" borderId="18" xfId="0" applyNumberFormat="1" applyFill="1" applyBorder="1">
      <alignment vertical="center"/>
    </xf>
    <xf numFmtId="176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4" borderId="8" xfId="0" applyNumberFormat="1" applyFill="1" applyBorder="1">
      <alignment vertical="center"/>
    </xf>
    <xf numFmtId="10" fontId="0" fillId="4" borderId="8" xfId="0" applyNumberFormat="1" applyFill="1" applyBorder="1">
      <alignment vertical="center"/>
    </xf>
    <xf numFmtId="0" fontId="0" fillId="3" borderId="8" xfId="0" applyFill="1" applyBorder="1">
      <alignment vertical="center"/>
    </xf>
    <xf numFmtId="0" fontId="0" fillId="0" borderId="20" xfId="0" applyBorder="1">
      <alignment vertical="center"/>
    </xf>
    <xf numFmtId="10" fontId="0" fillId="0" borderId="0" xfId="0" applyNumberFormat="1">
      <alignment vertical="center"/>
    </xf>
    <xf numFmtId="0" fontId="0" fillId="0" borderId="21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10" fontId="0" fillId="0" borderId="18" xfId="0" applyNumberFormat="1" applyBorder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2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0" xfId="0" applyBorder="1" applyAlignment="1">
      <alignment vertical="center"/>
    </xf>
    <xf numFmtId="177" fontId="0" fillId="0" borderId="8" xfId="0" applyNumberFormat="1" applyBorder="1">
      <alignment vertical="center"/>
    </xf>
    <xf numFmtId="177" fontId="0" fillId="0" borderId="16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G57"/>
  <sheetViews>
    <sheetView tabSelected="1" zoomScale="115" zoomScaleNormal="115" topLeftCell="G9" workbookViewId="0">
      <selection activeCell="N26" sqref="N26:V26"/>
    </sheetView>
  </sheetViews>
  <sheetFormatPr defaultColWidth="9" defaultRowHeight="13.85"/>
  <cols>
    <col min="2" max="2" width="13.5663716814159" customWidth="1"/>
    <col min="13" max="13" width="13.858407079646" customWidth="1"/>
    <col min="24" max="24" width="11.7964601769912" customWidth="1"/>
  </cols>
  <sheetData>
    <row r="2" ht="14.6" spans="2:3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2:33">
      <c r="B3" s="4" t="s">
        <v>1</v>
      </c>
      <c r="C3" s="5" t="s">
        <v>2</v>
      </c>
      <c r="D3" s="5"/>
      <c r="E3" s="5"/>
      <c r="F3" s="5"/>
      <c r="G3" s="5"/>
      <c r="H3" s="5"/>
      <c r="I3" s="5"/>
      <c r="J3" s="5"/>
      <c r="K3" s="5"/>
      <c r="L3" s="6"/>
      <c r="M3" s="7" t="s">
        <v>1</v>
      </c>
      <c r="N3" s="5" t="s">
        <v>3</v>
      </c>
      <c r="O3" s="5"/>
      <c r="P3" s="5"/>
      <c r="Q3" s="5"/>
      <c r="R3" s="5"/>
      <c r="S3" s="5"/>
      <c r="T3" s="5"/>
      <c r="U3" s="5"/>
      <c r="V3" s="8"/>
      <c r="X3" s="9" t="s">
        <v>1</v>
      </c>
      <c r="Y3" s="9" t="s">
        <v>4</v>
      </c>
      <c r="Z3" s="9"/>
      <c r="AA3" s="9"/>
      <c r="AB3" s="9"/>
      <c r="AC3" s="9"/>
      <c r="AD3" s="9"/>
      <c r="AE3" s="9"/>
      <c r="AF3" s="9"/>
      <c r="AG3" s="9"/>
    </row>
    <row r="4" spans="2:33">
      <c r="B4" s="10"/>
      <c r="C4" s="9" t="s">
        <v>5</v>
      </c>
      <c r="D4" s="9"/>
      <c r="E4" s="9"/>
      <c r="F4" s="9" t="s">
        <v>6</v>
      </c>
      <c r="G4" s="9"/>
      <c r="H4" s="9"/>
      <c r="I4" s="9" t="s">
        <v>7</v>
      </c>
      <c r="J4" s="9"/>
      <c r="K4" s="9"/>
      <c r="M4" s="11"/>
      <c r="N4" s="9" t="s">
        <v>5</v>
      </c>
      <c r="O4" s="9"/>
      <c r="P4" s="9"/>
      <c r="Q4" s="9" t="s">
        <v>6</v>
      </c>
      <c r="R4" s="9"/>
      <c r="S4" s="9"/>
      <c r="T4" s="9" t="s">
        <v>7</v>
      </c>
      <c r="U4" s="9"/>
      <c r="V4" s="12"/>
      <c r="X4" s="9"/>
      <c r="Y4" s="9" t="s">
        <v>5</v>
      </c>
      <c r="Z4" s="9"/>
      <c r="AA4" s="9"/>
      <c r="AB4" s="9" t="s">
        <v>6</v>
      </c>
      <c r="AC4" s="9"/>
      <c r="AD4" s="9"/>
      <c r="AE4" s="9" t="s">
        <v>7</v>
      </c>
      <c r="AF4" s="9"/>
      <c r="AG4" s="9"/>
    </row>
    <row r="5" spans="2:33">
      <c r="B5" s="13"/>
      <c r="C5" s="14" t="s">
        <v>8</v>
      </c>
      <c r="D5" s="14" t="s">
        <v>9</v>
      </c>
      <c r="E5" s="14" t="s">
        <v>10</v>
      </c>
      <c r="F5" s="14" t="s">
        <v>8</v>
      </c>
      <c r="G5" s="14" t="s">
        <v>9</v>
      </c>
      <c r="H5" s="14" t="s">
        <v>10</v>
      </c>
      <c r="I5" s="14" t="s">
        <v>8</v>
      </c>
      <c r="J5" s="14" t="s">
        <v>9</v>
      </c>
      <c r="K5" s="14" t="s">
        <v>10</v>
      </c>
      <c r="M5" s="15"/>
      <c r="N5" s="14" t="s">
        <v>8</v>
      </c>
      <c r="O5" s="14" t="s">
        <v>9</v>
      </c>
      <c r="P5" s="14" t="s">
        <v>10</v>
      </c>
      <c r="Q5" s="14" t="s">
        <v>8</v>
      </c>
      <c r="R5" s="14" t="s">
        <v>9</v>
      </c>
      <c r="S5" s="14" t="s">
        <v>10</v>
      </c>
      <c r="T5" s="14" t="s">
        <v>8</v>
      </c>
      <c r="U5" s="14" t="s">
        <v>9</v>
      </c>
      <c r="V5" s="16" t="s">
        <v>10</v>
      </c>
      <c r="X5" s="9"/>
      <c r="Y5" s="14" t="s">
        <v>8</v>
      </c>
      <c r="Z5" s="14" t="s">
        <v>9</v>
      </c>
      <c r="AA5" s="14" t="s">
        <v>10</v>
      </c>
      <c r="AB5" s="14" t="s">
        <v>8</v>
      </c>
      <c r="AC5" s="14" t="s">
        <v>9</v>
      </c>
      <c r="AD5" s="14" t="s">
        <v>10</v>
      </c>
      <c r="AE5" s="14" t="s">
        <v>8</v>
      </c>
      <c r="AF5" s="14" t="s">
        <v>9</v>
      </c>
      <c r="AG5" s="14" t="s">
        <v>10</v>
      </c>
    </row>
    <row r="6" spans="2:33">
      <c r="B6" s="17" t="s">
        <v>11</v>
      </c>
      <c r="C6" s="18">
        <v>446.04</v>
      </c>
      <c r="D6" s="19">
        <v>846.75</v>
      </c>
      <c r="E6" s="20">
        <v>0.1636</v>
      </c>
      <c r="F6" s="21">
        <v>208.84</v>
      </c>
      <c r="G6" s="21">
        <v>339.77</v>
      </c>
      <c r="H6" s="20">
        <v>0.0619</v>
      </c>
      <c r="I6" s="21">
        <v>220</v>
      </c>
      <c r="J6" s="21">
        <v>379.14</v>
      </c>
      <c r="K6" s="20">
        <v>0.0658</v>
      </c>
      <c r="M6" s="14" t="s">
        <v>11</v>
      </c>
      <c r="N6" s="22">
        <v>416.47</v>
      </c>
      <c r="O6" s="21">
        <v>763.67</v>
      </c>
      <c r="P6" s="23">
        <v>0.1669</v>
      </c>
      <c r="Q6" s="19">
        <v>214.74</v>
      </c>
      <c r="R6" s="19">
        <v>363.28</v>
      </c>
      <c r="S6" s="23">
        <v>0.0637</v>
      </c>
      <c r="T6" s="21">
        <v>220</v>
      </c>
      <c r="U6" s="21">
        <v>379.14</v>
      </c>
      <c r="V6" s="24">
        <v>0.0658</v>
      </c>
      <c r="X6" s="25" t="s">
        <v>11</v>
      </c>
      <c r="Y6" s="26">
        <f>C6-N6</f>
        <v>29.57</v>
      </c>
      <c r="Z6" s="26">
        <f t="shared" ref="Z6:AG6" si="0">D6-O6</f>
        <v>83.08</v>
      </c>
      <c r="AA6" s="27">
        <f t="shared" si="0"/>
        <v>-0.00330000000000003</v>
      </c>
      <c r="AB6" s="26">
        <f t="shared" si="0"/>
        <v>-5.90000000000001</v>
      </c>
      <c r="AC6" s="26">
        <f t="shared" si="0"/>
        <v>-23.51</v>
      </c>
      <c r="AD6" s="27">
        <f t="shared" si="0"/>
        <v>-0.00180000000000001</v>
      </c>
      <c r="AE6" s="26">
        <f t="shared" si="0"/>
        <v>0</v>
      </c>
      <c r="AF6" s="26">
        <f t="shared" si="0"/>
        <v>0</v>
      </c>
      <c r="AG6" s="27">
        <f t="shared" si="0"/>
        <v>0</v>
      </c>
    </row>
    <row r="7" spans="2:33">
      <c r="B7" s="17" t="s">
        <v>12</v>
      </c>
      <c r="C7" s="21">
        <v>456.01</v>
      </c>
      <c r="D7" s="21">
        <v>803.14</v>
      </c>
      <c r="E7" s="20">
        <v>0.1672</v>
      </c>
      <c r="F7" s="21">
        <v>246.33</v>
      </c>
      <c r="G7" s="21">
        <v>361.21</v>
      </c>
      <c r="H7" s="20">
        <v>0.073</v>
      </c>
      <c r="I7" s="21">
        <v>256.19</v>
      </c>
      <c r="J7" s="21">
        <v>393.3</v>
      </c>
      <c r="K7" s="20">
        <v>0.0766</v>
      </c>
      <c r="M7" s="14" t="s">
        <v>12</v>
      </c>
      <c r="N7" s="19">
        <v>559.17</v>
      </c>
      <c r="O7" s="19">
        <v>880.15</v>
      </c>
      <c r="P7" s="23">
        <v>0.224</v>
      </c>
      <c r="Q7" s="19">
        <v>403.21</v>
      </c>
      <c r="R7" s="19">
        <v>535.98</v>
      </c>
      <c r="S7" s="23">
        <v>0.1197</v>
      </c>
      <c r="T7" s="19">
        <v>407.28</v>
      </c>
      <c r="U7" s="19">
        <v>547.72</v>
      </c>
      <c r="V7" s="28">
        <v>0.1217</v>
      </c>
      <c r="X7" s="25" t="s">
        <v>12</v>
      </c>
      <c r="Y7" s="26">
        <f>C7-N7</f>
        <v>-103.16</v>
      </c>
      <c r="Z7" s="26">
        <f t="shared" ref="Z7:AG7" si="1">D7-O7</f>
        <v>-77.01</v>
      </c>
      <c r="AA7" s="27">
        <f t="shared" si="1"/>
        <v>-0.0568</v>
      </c>
      <c r="AB7" s="26">
        <f t="shared" si="1"/>
        <v>-156.88</v>
      </c>
      <c r="AC7" s="26">
        <f t="shared" si="1"/>
        <v>-174.77</v>
      </c>
      <c r="AD7" s="27">
        <f t="shared" si="1"/>
        <v>-0.0467</v>
      </c>
      <c r="AE7" s="26">
        <f t="shared" si="1"/>
        <v>-151.09</v>
      </c>
      <c r="AF7" s="26">
        <f t="shared" si="1"/>
        <v>-154.42</v>
      </c>
      <c r="AG7" s="27">
        <f t="shared" si="1"/>
        <v>-0.0451</v>
      </c>
    </row>
    <row r="8" ht="14.6" spans="2:33">
      <c r="B8" s="29" t="s">
        <v>13</v>
      </c>
      <c r="C8" s="30">
        <v>639.29</v>
      </c>
      <c r="D8" s="30">
        <v>1015.2</v>
      </c>
      <c r="E8" s="31">
        <v>0.2345</v>
      </c>
      <c r="F8" s="30">
        <v>440.06</v>
      </c>
      <c r="G8" s="30">
        <v>558.45</v>
      </c>
      <c r="H8" s="31">
        <v>0.1303</v>
      </c>
      <c r="I8" s="30">
        <v>449.43</v>
      </c>
      <c r="J8" s="30">
        <v>587.96</v>
      </c>
      <c r="K8" s="31">
        <v>0.1343</v>
      </c>
      <c r="L8" s="32"/>
      <c r="M8" s="33" t="s">
        <v>13</v>
      </c>
      <c r="N8" s="34">
        <v>417.56</v>
      </c>
      <c r="O8" s="34">
        <v>717.88</v>
      </c>
      <c r="P8" s="35">
        <v>0.1673</v>
      </c>
      <c r="Q8" s="34">
        <v>246.51</v>
      </c>
      <c r="R8" s="34">
        <v>378.76</v>
      </c>
      <c r="S8" s="35">
        <v>0.0732</v>
      </c>
      <c r="T8" s="34">
        <v>250.97</v>
      </c>
      <c r="U8" s="34">
        <v>391.37</v>
      </c>
      <c r="V8" s="36">
        <v>0.075</v>
      </c>
      <c r="X8" s="25" t="s">
        <v>13</v>
      </c>
      <c r="Y8" s="26">
        <f>C8-N8</f>
        <v>221.73</v>
      </c>
      <c r="Z8" s="26">
        <f t="shared" ref="Z8:AG8" si="2">D8-O8</f>
        <v>297.32</v>
      </c>
      <c r="AA8" s="27">
        <f t="shared" si="2"/>
        <v>0.0672</v>
      </c>
      <c r="AB8" s="26">
        <f t="shared" si="2"/>
        <v>193.55</v>
      </c>
      <c r="AC8" s="26">
        <f t="shared" si="2"/>
        <v>179.69</v>
      </c>
      <c r="AD8" s="27">
        <f t="shared" si="2"/>
        <v>0.0571</v>
      </c>
      <c r="AE8" s="26">
        <f t="shared" si="2"/>
        <v>198.46</v>
      </c>
      <c r="AF8" s="26">
        <f t="shared" si="2"/>
        <v>196.59</v>
      </c>
      <c r="AG8" s="27">
        <f t="shared" si="2"/>
        <v>0.0593</v>
      </c>
    </row>
    <row r="9" ht="14.6" spans="2:33">
      <c r="C9" s="37"/>
      <c r="D9" s="37"/>
      <c r="E9" s="37"/>
      <c r="F9" s="37"/>
      <c r="G9" s="37"/>
      <c r="H9" s="37"/>
      <c r="I9" s="37"/>
      <c r="J9" s="37"/>
      <c r="K9" s="37"/>
    </row>
    <row r="10" ht="14.6" spans="2:33">
      <c r="B10" s="1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</row>
    <row r="11" spans="2:33">
      <c r="B11" s="38" t="s">
        <v>1</v>
      </c>
      <c r="C11" s="39" t="s">
        <v>15</v>
      </c>
      <c r="D11" s="39"/>
      <c r="E11" s="39"/>
      <c r="F11" s="39"/>
      <c r="G11" s="39"/>
      <c r="H11" s="39"/>
      <c r="I11" s="39"/>
      <c r="J11" s="39"/>
      <c r="K11" s="39"/>
      <c r="L11" s="6"/>
      <c r="M11" s="5" t="s">
        <v>1</v>
      </c>
      <c r="N11" s="39" t="s">
        <v>16</v>
      </c>
      <c r="O11" s="39"/>
      <c r="P11" s="39"/>
      <c r="Q11" s="39"/>
      <c r="R11" s="39"/>
      <c r="S11" s="39"/>
      <c r="T11" s="39"/>
      <c r="U11" s="39"/>
      <c r="V11" s="40"/>
      <c r="X11" s="9" t="s">
        <v>1</v>
      </c>
      <c r="Y11" s="41" t="s">
        <v>17</v>
      </c>
      <c r="Z11" s="41"/>
      <c r="AA11" s="41"/>
      <c r="AB11" s="41"/>
      <c r="AC11" s="41"/>
      <c r="AD11" s="41"/>
      <c r="AE11" s="41"/>
      <c r="AF11" s="41"/>
      <c r="AG11" s="41"/>
    </row>
    <row r="12" spans="2:33">
      <c r="B12" s="42"/>
      <c r="C12" s="41" t="s">
        <v>5</v>
      </c>
      <c r="D12" s="41"/>
      <c r="E12" s="41"/>
      <c r="F12" s="41" t="s">
        <v>6</v>
      </c>
      <c r="G12" s="41"/>
      <c r="H12" s="41"/>
      <c r="I12" s="41" t="s">
        <v>7</v>
      </c>
      <c r="J12" s="41"/>
      <c r="K12" s="41"/>
      <c r="M12" s="9"/>
      <c r="N12" s="41" t="s">
        <v>5</v>
      </c>
      <c r="O12" s="41"/>
      <c r="P12" s="41"/>
      <c r="Q12" s="41" t="s">
        <v>6</v>
      </c>
      <c r="R12" s="41"/>
      <c r="S12" s="41"/>
      <c r="T12" s="41" t="s">
        <v>7</v>
      </c>
      <c r="U12" s="41"/>
      <c r="V12" s="43"/>
      <c r="X12" s="9"/>
      <c r="Y12" s="41" t="s">
        <v>5</v>
      </c>
      <c r="Z12" s="41"/>
      <c r="AA12" s="41"/>
      <c r="AB12" s="41" t="s">
        <v>6</v>
      </c>
      <c r="AC12" s="41"/>
      <c r="AD12" s="41"/>
      <c r="AE12" s="41" t="s">
        <v>7</v>
      </c>
      <c r="AF12" s="41"/>
      <c r="AG12" s="41"/>
    </row>
    <row r="13" spans="2:33">
      <c r="B13" s="42"/>
      <c r="C13" s="19" t="s">
        <v>8</v>
      </c>
      <c r="D13" s="19" t="s">
        <v>9</v>
      </c>
      <c r="E13" s="19" t="s">
        <v>10</v>
      </c>
      <c r="F13" s="19" t="s">
        <v>8</v>
      </c>
      <c r="G13" s="19" t="s">
        <v>9</v>
      </c>
      <c r="H13" s="19" t="s">
        <v>10</v>
      </c>
      <c r="I13" s="19" t="s">
        <v>8</v>
      </c>
      <c r="J13" s="19" t="s">
        <v>9</v>
      </c>
      <c r="K13" s="19" t="s">
        <v>10</v>
      </c>
      <c r="M13" s="9"/>
      <c r="N13" s="19" t="s">
        <v>8</v>
      </c>
      <c r="O13" s="19" t="s">
        <v>9</v>
      </c>
      <c r="P13" s="19" t="s">
        <v>10</v>
      </c>
      <c r="Q13" s="19" t="s">
        <v>8</v>
      </c>
      <c r="R13" s="19" t="s">
        <v>9</v>
      </c>
      <c r="S13" s="19" t="s">
        <v>10</v>
      </c>
      <c r="T13" s="19" t="s">
        <v>8</v>
      </c>
      <c r="U13" s="19" t="s">
        <v>9</v>
      </c>
      <c r="V13" s="44" t="s">
        <v>10</v>
      </c>
      <c r="X13" s="9"/>
      <c r="Y13" s="19" t="s">
        <v>8</v>
      </c>
      <c r="Z13" s="19" t="s">
        <v>9</v>
      </c>
      <c r="AA13" s="19" t="s">
        <v>10</v>
      </c>
      <c r="AB13" s="19" t="s">
        <v>8</v>
      </c>
      <c r="AC13" s="19" t="s">
        <v>9</v>
      </c>
      <c r="AD13" s="19" t="s">
        <v>10</v>
      </c>
      <c r="AE13" s="19" t="s">
        <v>8</v>
      </c>
      <c r="AF13" s="19" t="s">
        <v>9</v>
      </c>
      <c r="AG13" s="19" t="s">
        <v>10</v>
      </c>
    </row>
    <row r="14" spans="2:33">
      <c r="B14" s="17" t="s">
        <v>11</v>
      </c>
      <c r="C14" s="21">
        <v>109.01</v>
      </c>
      <c r="D14" s="21">
        <v>259.79</v>
      </c>
      <c r="E14" s="20">
        <v>0.2931</v>
      </c>
      <c r="F14" s="21">
        <v>78.82</v>
      </c>
      <c r="G14" s="21">
        <v>196.39</v>
      </c>
      <c r="H14" s="20">
        <v>0.217</v>
      </c>
      <c r="I14" s="21">
        <v>80.45</v>
      </c>
      <c r="J14" s="21">
        <v>200.33</v>
      </c>
      <c r="K14" s="20">
        <v>0.2212</v>
      </c>
      <c r="M14" s="14" t="s">
        <v>11</v>
      </c>
      <c r="N14" s="19">
        <v>111.87</v>
      </c>
      <c r="O14" s="19">
        <v>278.91</v>
      </c>
      <c r="P14" s="23">
        <v>0.3003</v>
      </c>
      <c r="Q14" s="19">
        <v>79.23</v>
      </c>
      <c r="R14" s="19">
        <v>196.65</v>
      </c>
      <c r="S14" s="23">
        <v>0.218</v>
      </c>
      <c r="T14" s="21">
        <v>80.45</v>
      </c>
      <c r="U14" s="21">
        <v>200.33</v>
      </c>
      <c r="V14" s="24">
        <v>0.2212</v>
      </c>
      <c r="X14" s="25" t="s">
        <v>11</v>
      </c>
      <c r="Y14" s="45">
        <f>C14-N14</f>
        <v>-2.86</v>
      </c>
      <c r="Z14" s="45">
        <f t="shared" ref="Z14:AG14" si="3">D14-O14</f>
        <v>-19.12</v>
      </c>
      <c r="AA14" s="46">
        <f t="shared" si="3"/>
        <v>-0.00719999999999998</v>
      </c>
      <c r="AB14" s="45">
        <f t="shared" si="3"/>
        <v>-0.410000000000011</v>
      </c>
      <c r="AC14" s="45">
        <f t="shared" si="3"/>
        <v>-0.260000000000019</v>
      </c>
      <c r="AD14" s="46">
        <f t="shared" si="3"/>
        <v>-0.001</v>
      </c>
      <c r="AE14" s="45">
        <f t="shared" si="3"/>
        <v>0</v>
      </c>
      <c r="AF14" s="45">
        <f t="shared" si="3"/>
        <v>0</v>
      </c>
      <c r="AG14" s="46">
        <f t="shared" si="3"/>
        <v>0</v>
      </c>
    </row>
    <row r="15" spans="2:33">
      <c r="B15" s="17" t="s">
        <v>12</v>
      </c>
      <c r="C15" s="21">
        <v>116.99</v>
      </c>
      <c r="D15" s="21">
        <v>264.03</v>
      </c>
      <c r="E15" s="20">
        <v>0.3146</v>
      </c>
      <c r="F15" s="21">
        <v>91.75</v>
      </c>
      <c r="G15" s="21">
        <v>210.79</v>
      </c>
      <c r="H15" s="20">
        <v>0.2526</v>
      </c>
      <c r="I15" s="21">
        <v>93.12</v>
      </c>
      <c r="J15" s="21">
        <v>214.01</v>
      </c>
      <c r="K15" s="20">
        <v>0.256</v>
      </c>
      <c r="M15" s="14" t="s">
        <v>12</v>
      </c>
      <c r="N15" s="19">
        <v>196.81</v>
      </c>
      <c r="O15" s="19">
        <v>378.11</v>
      </c>
      <c r="P15" s="23">
        <v>0.5282</v>
      </c>
      <c r="Q15" s="19">
        <v>174.87</v>
      </c>
      <c r="R15" s="19">
        <v>319.61</v>
      </c>
      <c r="S15" s="23">
        <v>0.4812</v>
      </c>
      <c r="T15" s="19">
        <v>175.69</v>
      </c>
      <c r="U15" s="19">
        <v>321.99</v>
      </c>
      <c r="V15" s="28">
        <v>0.483</v>
      </c>
      <c r="X15" s="25" t="s">
        <v>12</v>
      </c>
      <c r="Y15" s="45">
        <f>C15-N15</f>
        <v>-79.82</v>
      </c>
      <c r="Z15" s="45">
        <f t="shared" ref="Z15:AG15" si="4">D15-O15</f>
        <v>-114.08</v>
      </c>
      <c r="AA15" s="46">
        <f t="shared" si="4"/>
        <v>-0.2136</v>
      </c>
      <c r="AB15" s="45">
        <f t="shared" si="4"/>
        <v>-83.12</v>
      </c>
      <c r="AC15" s="45">
        <f t="shared" si="4"/>
        <v>-108.82</v>
      </c>
      <c r="AD15" s="46">
        <f t="shared" si="4"/>
        <v>-0.2286</v>
      </c>
      <c r="AE15" s="45">
        <f t="shared" si="4"/>
        <v>-82.57</v>
      </c>
      <c r="AF15" s="45">
        <f t="shared" si="4"/>
        <v>-107.98</v>
      </c>
      <c r="AG15" s="46">
        <f t="shared" si="4"/>
        <v>-0.227</v>
      </c>
    </row>
    <row r="16" ht="14.6" spans="2:33">
      <c r="B16" s="29" t="s">
        <v>13</v>
      </c>
      <c r="C16" s="30">
        <v>194.53</v>
      </c>
      <c r="D16" s="30">
        <v>370.8</v>
      </c>
      <c r="E16" s="31">
        <v>0.5231</v>
      </c>
      <c r="F16" s="30">
        <v>174.92</v>
      </c>
      <c r="G16" s="30">
        <v>321.45</v>
      </c>
      <c r="H16" s="31">
        <v>0.4815</v>
      </c>
      <c r="I16" s="30">
        <v>175.98</v>
      </c>
      <c r="J16" s="30">
        <v>324.31</v>
      </c>
      <c r="K16" s="31">
        <v>0.4838</v>
      </c>
      <c r="L16" s="32"/>
      <c r="M16" s="33" t="s">
        <v>13</v>
      </c>
      <c r="N16" s="34">
        <v>120.55</v>
      </c>
      <c r="O16" s="34">
        <v>280.73</v>
      </c>
      <c r="P16" s="35">
        <v>0.3236</v>
      </c>
      <c r="Q16" s="34">
        <v>91.78</v>
      </c>
      <c r="R16" s="34">
        <v>209.18</v>
      </c>
      <c r="S16" s="35">
        <v>0.2526</v>
      </c>
      <c r="T16" s="34">
        <v>92.85</v>
      </c>
      <c r="U16" s="34">
        <v>212.29</v>
      </c>
      <c r="V16" s="36">
        <v>0.2553</v>
      </c>
      <c r="X16" s="25" t="s">
        <v>13</v>
      </c>
      <c r="Y16" s="45">
        <f>C16-N16</f>
        <v>73.98</v>
      </c>
      <c r="Z16" s="45">
        <f t="shared" ref="Z16:AG16" si="5">D16-O16</f>
        <v>90.07</v>
      </c>
      <c r="AA16" s="46">
        <f t="shared" si="5"/>
        <v>0.1995</v>
      </c>
      <c r="AB16" s="45">
        <f t="shared" si="5"/>
        <v>83.14</v>
      </c>
      <c r="AC16" s="45">
        <f t="shared" si="5"/>
        <v>112.27</v>
      </c>
      <c r="AD16" s="46">
        <f t="shared" si="5"/>
        <v>0.2289</v>
      </c>
      <c r="AE16" s="45">
        <f t="shared" si="5"/>
        <v>83.13</v>
      </c>
      <c r="AF16" s="45">
        <f t="shared" si="5"/>
        <v>112.02</v>
      </c>
      <c r="AG16" s="46">
        <f t="shared" si="5"/>
        <v>0.2285</v>
      </c>
    </row>
    <row r="18" ht="14.6" spans="2:33">
      <c r="B18" s="1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</row>
    <row r="19" spans="2:33">
      <c r="B19" s="38" t="s">
        <v>1</v>
      </c>
      <c r="C19" s="5" t="s">
        <v>19</v>
      </c>
      <c r="D19" s="5"/>
      <c r="E19" s="5"/>
      <c r="F19" s="5"/>
      <c r="G19" s="5"/>
      <c r="H19" s="5"/>
      <c r="I19" s="5"/>
      <c r="J19" s="5"/>
      <c r="K19" s="5"/>
      <c r="L19" s="6"/>
      <c r="M19" s="5" t="s">
        <v>1</v>
      </c>
      <c r="N19" s="5" t="s">
        <v>20</v>
      </c>
      <c r="O19" s="5"/>
      <c r="P19" s="5"/>
      <c r="Q19" s="5"/>
      <c r="R19" s="5"/>
      <c r="S19" s="5"/>
      <c r="T19" s="5"/>
      <c r="U19" s="5"/>
      <c r="V19" s="8"/>
      <c r="X19" s="9" t="s">
        <v>1</v>
      </c>
      <c r="Y19" s="9" t="s">
        <v>21</v>
      </c>
      <c r="Z19" s="9"/>
      <c r="AA19" s="9"/>
      <c r="AB19" s="9"/>
      <c r="AC19" s="9"/>
      <c r="AD19" s="9"/>
      <c r="AE19" s="9"/>
      <c r="AF19" s="9"/>
      <c r="AG19" s="9"/>
    </row>
    <row r="20" spans="2:33">
      <c r="B20" s="42"/>
      <c r="C20" s="9" t="s">
        <v>5</v>
      </c>
      <c r="D20" s="9"/>
      <c r="E20" s="9"/>
      <c r="F20" s="9" t="s">
        <v>6</v>
      </c>
      <c r="G20" s="9"/>
      <c r="H20" s="9"/>
      <c r="I20" s="9" t="s">
        <v>7</v>
      </c>
      <c r="J20" s="9"/>
      <c r="K20" s="9"/>
      <c r="M20" s="9"/>
      <c r="N20" s="9" t="s">
        <v>5</v>
      </c>
      <c r="O20" s="9"/>
      <c r="P20" s="9"/>
      <c r="Q20" s="9" t="s">
        <v>6</v>
      </c>
      <c r="R20" s="9"/>
      <c r="S20" s="9"/>
      <c r="T20" s="9" t="s">
        <v>7</v>
      </c>
      <c r="U20" s="9"/>
      <c r="V20" s="12"/>
      <c r="X20" s="9"/>
      <c r="Y20" s="9" t="s">
        <v>5</v>
      </c>
      <c r="Z20" s="9"/>
      <c r="AA20" s="9"/>
      <c r="AB20" s="9" t="s">
        <v>6</v>
      </c>
      <c r="AC20" s="9"/>
      <c r="AD20" s="9"/>
      <c r="AE20" s="9" t="s">
        <v>7</v>
      </c>
      <c r="AF20" s="9"/>
      <c r="AG20" s="9"/>
    </row>
    <row r="21" spans="2:33">
      <c r="B21" s="42"/>
      <c r="C21" s="14" t="s">
        <v>8</v>
      </c>
      <c r="D21" s="14" t="s">
        <v>9</v>
      </c>
      <c r="E21" s="14" t="s">
        <v>10</v>
      </c>
      <c r="F21" s="14" t="s">
        <v>8</v>
      </c>
      <c r="G21" s="14" t="s">
        <v>9</v>
      </c>
      <c r="H21" s="14" t="s">
        <v>10</v>
      </c>
      <c r="I21" s="14" t="s">
        <v>8</v>
      </c>
      <c r="J21" s="14" t="s">
        <v>9</v>
      </c>
      <c r="K21" s="14" t="s">
        <v>10</v>
      </c>
      <c r="M21" s="9"/>
      <c r="N21" s="14" t="s">
        <v>8</v>
      </c>
      <c r="O21" s="14" t="s">
        <v>9</v>
      </c>
      <c r="P21" s="14" t="s">
        <v>10</v>
      </c>
      <c r="Q21" s="14" t="s">
        <v>8</v>
      </c>
      <c r="R21" s="14" t="s">
        <v>9</v>
      </c>
      <c r="S21" s="14" t="s">
        <v>10</v>
      </c>
      <c r="T21" s="14" t="s">
        <v>8</v>
      </c>
      <c r="U21" s="14" t="s">
        <v>9</v>
      </c>
      <c r="V21" s="16" t="s">
        <v>10</v>
      </c>
      <c r="X21" s="9"/>
      <c r="Y21" s="14" t="s">
        <v>8</v>
      </c>
      <c r="Z21" s="14" t="s">
        <v>9</v>
      </c>
      <c r="AA21" s="14" t="s">
        <v>10</v>
      </c>
      <c r="AB21" s="14" t="s">
        <v>8</v>
      </c>
      <c r="AC21" s="14" t="s">
        <v>9</v>
      </c>
      <c r="AD21" s="14" t="s">
        <v>10</v>
      </c>
      <c r="AE21" s="14" t="s">
        <v>8</v>
      </c>
      <c r="AF21" s="14" t="s">
        <v>9</v>
      </c>
      <c r="AG21" s="14" t="s">
        <v>10</v>
      </c>
    </row>
    <row r="22" spans="2:33">
      <c r="B22" s="17" t="s">
        <v>22</v>
      </c>
      <c r="C22" s="19">
        <v>430.4</v>
      </c>
      <c r="D22" s="19">
        <v>816.5</v>
      </c>
      <c r="E22" s="20">
        <v>0.1578</v>
      </c>
      <c r="F22" s="47">
        <v>203.62</v>
      </c>
      <c r="G22" s="47">
        <v>332.15</v>
      </c>
      <c r="H22" s="23">
        <v>0.6031</v>
      </c>
      <c r="I22" s="47">
        <v>214.29</v>
      </c>
      <c r="J22" s="47">
        <v>369.46</v>
      </c>
      <c r="K22" s="20">
        <v>0.064</v>
      </c>
      <c r="M22" s="14" t="s">
        <v>22</v>
      </c>
      <c r="N22" s="19">
        <v>403.18</v>
      </c>
      <c r="O22" s="19">
        <v>748.79</v>
      </c>
      <c r="P22" s="23">
        <v>0.1615</v>
      </c>
      <c r="Q22" s="14">
        <v>229.19</v>
      </c>
      <c r="R22" s="14">
        <v>377.49</v>
      </c>
      <c r="S22" s="20">
        <v>0.068</v>
      </c>
      <c r="T22" s="14">
        <v>233.73</v>
      </c>
      <c r="U22" s="14">
        <v>391.68</v>
      </c>
      <c r="V22" s="28">
        <v>0.0699</v>
      </c>
      <c r="X22" s="14" t="s">
        <v>22</v>
      </c>
      <c r="Y22" s="19">
        <f>MIN(C22,N22,C29,N29)-AVERAGE(C22,N22,C29,N29)</f>
        <v>-20.3425</v>
      </c>
      <c r="Z22" s="19">
        <f t="shared" ref="Z22:AG22" si="6">MIN(D22,O22,D29,O29)-AVERAGE(D22,O22,D29,O29)</f>
        <v>-34.3125</v>
      </c>
      <c r="AA22" s="23">
        <f t="shared" si="6"/>
        <v>-0.00290000000000001</v>
      </c>
      <c r="AB22" s="19">
        <f t="shared" si="6"/>
        <v>-49.7975</v>
      </c>
      <c r="AC22" s="19">
        <f t="shared" si="6"/>
        <v>-79.5675000000001</v>
      </c>
      <c r="AD22" s="23">
        <f t="shared" si="6"/>
        <v>-0.142825</v>
      </c>
      <c r="AE22" s="19">
        <f t="shared" si="6"/>
        <v>-45.215</v>
      </c>
      <c r="AF22" s="19">
        <f t="shared" si="6"/>
        <v>-60.835</v>
      </c>
      <c r="AG22" s="23">
        <f t="shared" si="6"/>
        <v>-0.01355</v>
      </c>
    </row>
    <row r="23" spans="2:33">
      <c r="B23" s="17" t="s">
        <v>23</v>
      </c>
      <c r="C23" s="21">
        <v>106.79</v>
      </c>
      <c r="D23" s="21">
        <v>254.45</v>
      </c>
      <c r="E23" s="20">
        <v>0.2872</v>
      </c>
      <c r="F23" s="47">
        <v>78.31</v>
      </c>
      <c r="G23" s="47">
        <v>194.37</v>
      </c>
      <c r="H23" s="20">
        <v>0.2156</v>
      </c>
      <c r="I23" s="47">
        <v>79.85</v>
      </c>
      <c r="J23" s="47">
        <v>198.09</v>
      </c>
      <c r="K23" s="20">
        <v>0.2195</v>
      </c>
      <c r="M23" s="14" t="s">
        <v>23</v>
      </c>
      <c r="N23" s="19">
        <v>120.49</v>
      </c>
      <c r="O23" s="19">
        <v>292.24</v>
      </c>
      <c r="P23" s="23">
        <v>0.3234</v>
      </c>
      <c r="Q23" s="14">
        <v>87.03</v>
      </c>
      <c r="R23" s="14">
        <v>207.04</v>
      </c>
      <c r="S23" s="23">
        <v>0.2395</v>
      </c>
      <c r="T23" s="14">
        <v>88.28</v>
      </c>
      <c r="U23" s="14">
        <v>210.84</v>
      </c>
      <c r="V23" s="28">
        <v>0.2427</v>
      </c>
      <c r="X23" s="14" t="s">
        <v>23</v>
      </c>
      <c r="Y23" s="19">
        <f>MIN(C23,N23,C30,N30)-AVERAGE(C23,N23,C30,N30)</f>
        <v>-9.26999999999998</v>
      </c>
      <c r="Z23" s="19">
        <f t="shared" ref="Z23:AG23" si="7">MIN(D23,O23,D30,O30)-AVERAGE(D23,O23,D30,O30)</f>
        <v>-22.2</v>
      </c>
      <c r="AA23" s="23">
        <f t="shared" si="7"/>
        <v>-0.024575</v>
      </c>
      <c r="AB23" s="19">
        <f t="shared" si="7"/>
        <v>-7.63</v>
      </c>
      <c r="AC23" s="19">
        <f t="shared" si="7"/>
        <v>-10.74</v>
      </c>
      <c r="AD23" s="23">
        <f t="shared" si="7"/>
        <v>-0.02095</v>
      </c>
      <c r="AE23" s="19">
        <f t="shared" si="7"/>
        <v>-7.4325</v>
      </c>
      <c r="AF23" s="19">
        <f t="shared" si="7"/>
        <v>-10.67</v>
      </c>
      <c r="AG23" s="23">
        <f t="shared" si="7"/>
        <v>-0.02045</v>
      </c>
    </row>
    <row r="24" spans="2:33">
      <c r="B24" s="48"/>
      <c r="C24" s="37"/>
      <c r="D24" s="37"/>
      <c r="E24" s="49"/>
      <c r="H24" s="49"/>
      <c r="K24" s="49"/>
      <c r="V24" s="50"/>
    </row>
    <row r="25" spans="2:33">
      <c r="B25" s="48"/>
      <c r="C25" s="37"/>
      <c r="D25" s="37"/>
      <c r="E25" s="49"/>
      <c r="H25" s="49"/>
      <c r="K25" s="49"/>
      <c r="V25" s="50"/>
    </row>
    <row r="26" spans="2:33">
      <c r="B26" s="42" t="s">
        <v>1</v>
      </c>
      <c r="C26" s="9" t="s">
        <v>24</v>
      </c>
      <c r="D26" s="9"/>
      <c r="E26" s="9"/>
      <c r="F26" s="9"/>
      <c r="G26" s="9"/>
      <c r="H26" s="9"/>
      <c r="I26" s="9"/>
      <c r="J26" s="9"/>
      <c r="K26" s="9"/>
      <c r="M26" s="9" t="s">
        <v>1</v>
      </c>
      <c r="N26" s="9" t="s">
        <v>25</v>
      </c>
      <c r="O26" s="9"/>
      <c r="P26" s="9"/>
      <c r="Q26" s="9"/>
      <c r="R26" s="9"/>
      <c r="S26" s="9"/>
      <c r="T26" s="9"/>
      <c r="U26" s="9"/>
      <c r="V26" s="12"/>
    </row>
    <row r="27" spans="2:33">
      <c r="B27" s="42"/>
      <c r="C27" s="9" t="s">
        <v>5</v>
      </c>
      <c r="D27" s="9"/>
      <c r="E27" s="9"/>
      <c r="F27" s="9" t="s">
        <v>6</v>
      </c>
      <c r="G27" s="9"/>
      <c r="H27" s="9"/>
      <c r="I27" s="9" t="s">
        <v>7</v>
      </c>
      <c r="J27" s="9"/>
      <c r="K27" s="9"/>
      <c r="M27" s="9"/>
      <c r="N27" s="9" t="s">
        <v>5</v>
      </c>
      <c r="O27" s="9"/>
      <c r="P27" s="9"/>
      <c r="Q27" s="9" t="s">
        <v>6</v>
      </c>
      <c r="R27" s="9"/>
      <c r="S27" s="9"/>
      <c r="T27" s="9" t="s">
        <v>7</v>
      </c>
      <c r="U27" s="9"/>
      <c r="V27" s="12"/>
    </row>
    <row r="28" spans="2:33">
      <c r="B28" s="42"/>
      <c r="C28" s="14" t="s">
        <v>8</v>
      </c>
      <c r="D28" s="14" t="s">
        <v>9</v>
      </c>
      <c r="E28" s="14" t="s">
        <v>10</v>
      </c>
      <c r="F28" s="14" t="s">
        <v>8</v>
      </c>
      <c r="G28" s="14" t="s">
        <v>9</v>
      </c>
      <c r="H28" s="14" t="s">
        <v>10</v>
      </c>
      <c r="I28" s="14" t="s">
        <v>8</v>
      </c>
      <c r="J28" s="14" t="s">
        <v>9</v>
      </c>
      <c r="K28" s="14" t="s">
        <v>10</v>
      </c>
      <c r="M28" s="9"/>
      <c r="N28" s="14" t="s">
        <v>8</v>
      </c>
      <c r="O28" s="14" t="s">
        <v>9</v>
      </c>
      <c r="P28" s="14" t="s">
        <v>10</v>
      </c>
      <c r="Q28" s="14" t="s">
        <v>8</v>
      </c>
      <c r="R28" s="14" t="s">
        <v>9</v>
      </c>
      <c r="S28" s="14" t="s">
        <v>10</v>
      </c>
      <c r="T28" s="14" t="s">
        <v>8</v>
      </c>
      <c r="U28" s="14" t="s">
        <v>9</v>
      </c>
      <c r="V28" s="16" t="s">
        <v>10</v>
      </c>
    </row>
    <row r="29" spans="2:33">
      <c r="B29" s="51" t="s">
        <v>22</v>
      </c>
      <c r="C29" s="19">
        <v>445.87</v>
      </c>
      <c r="D29" s="19">
        <v>740.3</v>
      </c>
      <c r="E29" s="23">
        <v>0.1635</v>
      </c>
      <c r="F29" s="14">
        <v>338.63</v>
      </c>
      <c r="G29" s="14">
        <v>544.49</v>
      </c>
      <c r="H29" s="23">
        <v>0.1003</v>
      </c>
      <c r="I29" s="14">
        <v>343.67</v>
      </c>
      <c r="J29" s="14">
        <v>555.25</v>
      </c>
      <c r="K29" s="23">
        <v>0.1027</v>
      </c>
      <c r="M29" s="14" t="s">
        <v>22</v>
      </c>
      <c r="N29" s="21">
        <v>399.36</v>
      </c>
      <c r="O29" s="21">
        <v>722.78</v>
      </c>
      <c r="P29" s="23">
        <v>0.16</v>
      </c>
      <c r="Q29" s="14">
        <v>242.23</v>
      </c>
      <c r="R29" s="14">
        <v>392.74</v>
      </c>
      <c r="S29" s="23">
        <v>0.0719</v>
      </c>
      <c r="T29" s="14">
        <v>246.33</v>
      </c>
      <c r="U29" s="14">
        <v>404.79</v>
      </c>
      <c r="V29" s="28">
        <v>0.0736</v>
      </c>
    </row>
    <row r="30" spans="2:33">
      <c r="B30" s="29" t="s">
        <v>23</v>
      </c>
      <c r="C30" s="30">
        <v>111.63</v>
      </c>
      <c r="D30" s="30">
        <v>255.2</v>
      </c>
      <c r="E30" s="31">
        <v>0.3002</v>
      </c>
      <c r="F30" s="52">
        <v>88.19</v>
      </c>
      <c r="G30" s="52">
        <v>206.41</v>
      </c>
      <c r="H30" s="31">
        <v>0.2428</v>
      </c>
      <c r="I30" s="52">
        <v>89.46</v>
      </c>
      <c r="J30" s="52">
        <v>209.35</v>
      </c>
      <c r="K30" s="31">
        <v>0.2459</v>
      </c>
      <c r="L30" s="32"/>
      <c r="M30" s="52" t="s">
        <v>23</v>
      </c>
      <c r="N30" s="30">
        <v>125.33</v>
      </c>
      <c r="O30" s="30">
        <v>304.71</v>
      </c>
      <c r="P30" s="31">
        <v>0.3363</v>
      </c>
      <c r="Q30" s="52">
        <v>90.23</v>
      </c>
      <c r="R30" s="52">
        <v>212.62</v>
      </c>
      <c r="S30" s="31">
        <v>0.2483</v>
      </c>
      <c r="T30" s="52">
        <v>91.54</v>
      </c>
      <c r="U30" s="52">
        <v>216.76</v>
      </c>
      <c r="V30" s="53">
        <v>0.2517</v>
      </c>
    </row>
    <row r="31" ht="14.6" spans="2:33">
      <c r="C31" s="37"/>
      <c r="D31" s="37"/>
      <c r="E31" s="49"/>
      <c r="H31" s="49"/>
      <c r="K31" s="49"/>
    </row>
    <row r="32" ht="14.6" spans="2:33">
      <c r="B32" s="1" t="s">
        <v>26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</row>
    <row r="33" ht="15" customHeight="1" spans="2:33">
      <c r="B33" s="54" t="s">
        <v>27</v>
      </c>
      <c r="C33" s="55"/>
      <c r="D33" s="55"/>
      <c r="E33" s="55"/>
      <c r="F33" s="55"/>
      <c r="G33" s="55"/>
      <c r="H33" s="55"/>
      <c r="I33" s="55"/>
      <c r="J33" s="55"/>
      <c r="K33" s="55"/>
      <c r="L33" s="6"/>
      <c r="M33" s="55" t="s">
        <v>28</v>
      </c>
      <c r="N33" s="55"/>
      <c r="O33" s="55"/>
      <c r="P33" s="55"/>
      <c r="Q33" s="55"/>
      <c r="R33" s="55"/>
      <c r="S33" s="55"/>
      <c r="T33" s="55"/>
      <c r="U33" s="55"/>
      <c r="V33" s="56"/>
      <c r="X33" s="57" t="s">
        <v>29</v>
      </c>
      <c r="Y33" s="57"/>
      <c r="Z33" s="57"/>
      <c r="AA33" s="57"/>
      <c r="AB33" s="57"/>
      <c r="AC33" s="57"/>
      <c r="AD33" s="57"/>
      <c r="AE33" s="57"/>
      <c r="AF33" s="57"/>
      <c r="AG33" s="57"/>
    </row>
    <row r="34" ht="15" customHeight="1" spans="2:33">
      <c r="B34" s="58" t="s">
        <v>1</v>
      </c>
      <c r="C34" s="9" t="s">
        <v>5</v>
      </c>
      <c r="D34" s="9"/>
      <c r="E34" s="9"/>
      <c r="F34" s="9" t="s">
        <v>6</v>
      </c>
      <c r="G34" s="9"/>
      <c r="H34" s="9"/>
      <c r="I34" s="9" t="s">
        <v>7</v>
      </c>
      <c r="J34" s="9"/>
      <c r="K34" s="9"/>
      <c r="M34" s="59" t="s">
        <v>1</v>
      </c>
      <c r="N34" s="9" t="s">
        <v>5</v>
      </c>
      <c r="O34" s="9"/>
      <c r="P34" s="9"/>
      <c r="Q34" s="9" t="s">
        <v>6</v>
      </c>
      <c r="R34" s="9"/>
      <c r="S34" s="9"/>
      <c r="T34" s="9" t="s">
        <v>7</v>
      </c>
      <c r="U34" s="9"/>
      <c r="V34" s="12"/>
      <c r="X34" s="59" t="s">
        <v>1</v>
      </c>
      <c r="Y34" s="9" t="s">
        <v>5</v>
      </c>
      <c r="Z34" s="9"/>
      <c r="AA34" s="9"/>
      <c r="AB34" s="9" t="s">
        <v>6</v>
      </c>
      <c r="AC34" s="9"/>
      <c r="AD34" s="9"/>
      <c r="AE34" s="9" t="s">
        <v>7</v>
      </c>
      <c r="AF34" s="9"/>
      <c r="AG34" s="9"/>
    </row>
    <row r="35" spans="2:33">
      <c r="B35" s="58"/>
      <c r="C35" s="14" t="s">
        <v>8</v>
      </c>
      <c r="D35" s="14" t="s">
        <v>9</v>
      </c>
      <c r="E35" s="14" t="s">
        <v>10</v>
      </c>
      <c r="F35" s="14" t="s">
        <v>8</v>
      </c>
      <c r="G35" s="14" t="s">
        <v>9</v>
      </c>
      <c r="H35" s="14" t="s">
        <v>10</v>
      </c>
      <c r="I35" s="14" t="s">
        <v>8</v>
      </c>
      <c r="J35" s="14" t="s">
        <v>9</v>
      </c>
      <c r="K35" s="14" t="s">
        <v>10</v>
      </c>
      <c r="M35" s="59"/>
      <c r="N35" s="14" t="s">
        <v>8</v>
      </c>
      <c r="O35" s="14" t="s">
        <v>9</v>
      </c>
      <c r="P35" s="14" t="s">
        <v>10</v>
      </c>
      <c r="Q35" s="14" t="s">
        <v>8</v>
      </c>
      <c r="R35" s="14" t="s">
        <v>9</v>
      </c>
      <c r="S35" s="14" t="s">
        <v>10</v>
      </c>
      <c r="T35" s="14" t="s">
        <v>8</v>
      </c>
      <c r="U35" s="14" t="s">
        <v>9</v>
      </c>
      <c r="V35" s="16" t="s">
        <v>10</v>
      </c>
      <c r="X35" s="59"/>
      <c r="Y35" s="14" t="s">
        <v>8</v>
      </c>
      <c r="Z35" s="14" t="s">
        <v>9</v>
      </c>
      <c r="AA35" s="14" t="s">
        <v>10</v>
      </c>
      <c r="AB35" s="14" t="s">
        <v>8</v>
      </c>
      <c r="AC35" s="14" t="s">
        <v>9</v>
      </c>
      <c r="AD35" s="14" t="s">
        <v>10</v>
      </c>
      <c r="AE35" s="14" t="s">
        <v>8</v>
      </c>
      <c r="AF35" s="14" t="s">
        <v>9</v>
      </c>
      <c r="AG35" s="14" t="s">
        <v>10</v>
      </c>
    </row>
    <row r="36" spans="2:33">
      <c r="B36" s="17" t="s">
        <v>22</v>
      </c>
      <c r="C36" s="21">
        <v>696.21</v>
      </c>
      <c r="D36" s="21">
        <v>1223.93</v>
      </c>
      <c r="E36" s="20">
        <v>0.2553</v>
      </c>
      <c r="F36" s="21">
        <v>225.4</v>
      </c>
      <c r="G36" s="14">
        <v>351.47</v>
      </c>
      <c r="H36" s="20">
        <v>0.0668</v>
      </c>
      <c r="I36" s="14">
        <v>247.55</v>
      </c>
      <c r="J36" s="14">
        <v>433.82</v>
      </c>
      <c r="K36" s="23">
        <v>0.074</v>
      </c>
      <c r="M36" s="14" t="s">
        <v>22</v>
      </c>
      <c r="N36" s="19">
        <v>761.42</v>
      </c>
      <c r="O36" s="19">
        <v>1267.73</v>
      </c>
      <c r="P36" s="23">
        <v>0.3051</v>
      </c>
      <c r="Q36" s="19">
        <v>242.43</v>
      </c>
      <c r="R36" s="14">
        <v>396.33</v>
      </c>
      <c r="S36" s="23">
        <v>0.072</v>
      </c>
      <c r="T36" s="14">
        <v>255.97</v>
      </c>
      <c r="U36" s="19">
        <v>441.5</v>
      </c>
      <c r="V36" s="24">
        <v>0.072</v>
      </c>
      <c r="X36" s="25" t="s">
        <v>22</v>
      </c>
      <c r="Y36" s="45">
        <f>MIN(C36,N36,C43,N43)-AVERAGE(C36,N36,C43,N43)</f>
        <v>-47.4275</v>
      </c>
      <c r="Z36" s="45">
        <f t="shared" ref="Z36:AG36" si="8">MIN(D36,O36,D43,O43)-AVERAGE(D36,O36,D43,O43)</f>
        <v>-44.1949999999999</v>
      </c>
      <c r="AA36" s="46">
        <f t="shared" si="8"/>
        <v>-0.030675</v>
      </c>
      <c r="AB36" s="45">
        <f t="shared" si="8"/>
        <v>-6.54750000000001</v>
      </c>
      <c r="AC36" s="45">
        <f t="shared" si="8"/>
        <v>-18.995</v>
      </c>
      <c r="AD36" s="46">
        <f t="shared" si="8"/>
        <v>-0.002</v>
      </c>
      <c r="AE36" s="45">
        <f t="shared" si="8"/>
        <v>-3.5625</v>
      </c>
      <c r="AF36" s="45">
        <f t="shared" si="8"/>
        <v>-4.53999999999996</v>
      </c>
      <c r="AG36" s="46">
        <f t="shared" si="8"/>
        <v>-0.00170000000000001</v>
      </c>
    </row>
    <row r="37" spans="2:33">
      <c r="B37" s="51" t="s">
        <v>23</v>
      </c>
      <c r="C37" s="47">
        <v>114.94</v>
      </c>
      <c r="D37" s="47">
        <v>275.31</v>
      </c>
      <c r="E37" s="20">
        <v>0.3091</v>
      </c>
      <c r="F37" s="14">
        <v>80.06</v>
      </c>
      <c r="G37" s="14">
        <v>198.44</v>
      </c>
      <c r="H37" s="23">
        <v>0.2204</v>
      </c>
      <c r="I37" s="14">
        <v>81.95</v>
      </c>
      <c r="J37" s="14">
        <v>203.35</v>
      </c>
      <c r="K37" s="23">
        <v>0.2253</v>
      </c>
      <c r="M37" s="14" t="s">
        <v>23</v>
      </c>
      <c r="N37" s="14">
        <v>118.87</v>
      </c>
      <c r="O37" s="14">
        <v>295.76</v>
      </c>
      <c r="P37" s="23">
        <v>0.319</v>
      </c>
      <c r="Q37" s="14">
        <v>83.25</v>
      </c>
      <c r="R37" s="14">
        <v>201.77</v>
      </c>
      <c r="S37" s="23">
        <v>0.2291</v>
      </c>
      <c r="T37" s="14">
        <v>84.58</v>
      </c>
      <c r="U37" s="14">
        <v>206.06</v>
      </c>
      <c r="V37" s="28">
        <v>0.2325</v>
      </c>
      <c r="X37" s="60" t="s">
        <v>23</v>
      </c>
      <c r="Y37" s="45">
        <f>MIN(C37,N37,C44,N44)-AVERAGE(C37,N37,C44,N44)</f>
        <v>-2.18000000000001</v>
      </c>
      <c r="Z37" s="45">
        <f t="shared" ref="Z37:AG37" si="9">MIN(D37,O37,D44,O44)-AVERAGE(D37,O37,D44,O44)</f>
        <v>-9.19</v>
      </c>
      <c r="AA37" s="46">
        <f t="shared" si="9"/>
        <v>-0.00555</v>
      </c>
      <c r="AB37" s="45">
        <f t="shared" si="9"/>
        <v>-3.4175</v>
      </c>
      <c r="AC37" s="45">
        <f t="shared" si="9"/>
        <v>-5.85750000000002</v>
      </c>
      <c r="AD37" s="46">
        <f t="shared" si="9"/>
        <v>-0.00935</v>
      </c>
      <c r="AE37" s="45">
        <f t="shared" si="9"/>
        <v>-2.92500000000001</v>
      </c>
      <c r="AF37" s="45">
        <f t="shared" si="9"/>
        <v>-5.06999999999999</v>
      </c>
      <c r="AG37" s="46">
        <f t="shared" si="9"/>
        <v>-0.00802499999999998</v>
      </c>
    </row>
    <row r="38" spans="2:33">
      <c r="B38" s="48"/>
      <c r="V38" s="50"/>
    </row>
    <row r="39" spans="2:33">
      <c r="B39" s="48"/>
      <c r="V39" s="50"/>
    </row>
    <row r="40" ht="15.75" spans="2:33">
      <c r="B40" s="61" t="s">
        <v>30</v>
      </c>
      <c r="C40" s="57"/>
      <c r="D40" s="57"/>
      <c r="E40" s="57"/>
      <c r="F40" s="57"/>
      <c r="G40" s="57"/>
      <c r="H40" s="57"/>
      <c r="I40" s="57"/>
      <c r="J40" s="57"/>
      <c r="K40" s="57"/>
      <c r="M40" s="57" t="s">
        <v>31</v>
      </c>
      <c r="N40" s="57"/>
      <c r="O40" s="57"/>
      <c r="P40" s="57"/>
      <c r="Q40" s="57"/>
      <c r="R40" s="57"/>
      <c r="S40" s="57"/>
      <c r="T40" s="57"/>
      <c r="U40" s="57"/>
      <c r="V40" s="62"/>
    </row>
    <row r="41" spans="2:33">
      <c r="B41" s="58" t="s">
        <v>1</v>
      </c>
      <c r="C41" s="9" t="s">
        <v>5</v>
      </c>
      <c r="D41" s="9"/>
      <c r="E41" s="9"/>
      <c r="F41" s="9" t="s">
        <v>6</v>
      </c>
      <c r="G41" s="9"/>
      <c r="H41" s="9"/>
      <c r="I41" s="9" t="s">
        <v>7</v>
      </c>
      <c r="J41" s="9"/>
      <c r="K41" s="9"/>
      <c r="M41" s="59" t="s">
        <v>1</v>
      </c>
      <c r="N41" s="9" t="s">
        <v>5</v>
      </c>
      <c r="O41" s="9"/>
      <c r="P41" s="9"/>
      <c r="Q41" s="9" t="s">
        <v>6</v>
      </c>
      <c r="R41" s="9"/>
      <c r="S41" s="9"/>
      <c r="T41" s="9" t="s">
        <v>7</v>
      </c>
      <c r="U41" s="9"/>
      <c r="V41" s="12"/>
    </row>
    <row r="42" spans="2:33">
      <c r="B42" s="58"/>
      <c r="C42" s="14" t="s">
        <v>8</v>
      </c>
      <c r="D42" s="14" t="s">
        <v>9</v>
      </c>
      <c r="E42" s="14" t="s">
        <v>10</v>
      </c>
      <c r="F42" s="14" t="s">
        <v>8</v>
      </c>
      <c r="G42" s="14" t="s">
        <v>9</v>
      </c>
      <c r="H42" s="14" t="s">
        <v>10</v>
      </c>
      <c r="I42" s="14" t="s">
        <v>8</v>
      </c>
      <c r="J42" s="14" t="s">
        <v>9</v>
      </c>
      <c r="K42" s="14" t="s">
        <v>10</v>
      </c>
      <c r="M42" s="59"/>
      <c r="N42" s="14" t="s">
        <v>8</v>
      </c>
      <c r="O42" s="14" t="s">
        <v>9</v>
      </c>
      <c r="P42" s="14" t="s">
        <v>10</v>
      </c>
      <c r="Q42" s="14" t="s">
        <v>8</v>
      </c>
      <c r="R42" s="14" t="s">
        <v>9</v>
      </c>
      <c r="S42" s="14" t="s">
        <v>10</v>
      </c>
      <c r="T42" s="14" t="s">
        <v>8</v>
      </c>
      <c r="U42" s="14" t="s">
        <v>9</v>
      </c>
      <c r="V42" s="16" t="s">
        <v>10</v>
      </c>
    </row>
    <row r="43" spans="2:33">
      <c r="B43" s="51" t="s">
        <v>22</v>
      </c>
      <c r="C43" s="19">
        <v>713.98</v>
      </c>
      <c r="D43" s="19">
        <v>1262.08</v>
      </c>
      <c r="E43" s="23">
        <v>0.2618</v>
      </c>
      <c r="F43" s="19">
        <v>228.12</v>
      </c>
      <c r="G43" s="47">
        <v>350.83</v>
      </c>
      <c r="H43" s="23">
        <v>0.0676</v>
      </c>
      <c r="I43" s="14">
        <v>250.98</v>
      </c>
      <c r="J43" s="14">
        <v>438.45</v>
      </c>
      <c r="K43" s="23">
        <v>0.075</v>
      </c>
      <c r="M43" s="14" t="s">
        <v>22</v>
      </c>
      <c r="N43" s="19">
        <v>802.94</v>
      </c>
      <c r="O43" s="19">
        <v>1318.76</v>
      </c>
      <c r="P43" s="23">
        <v>0.3217</v>
      </c>
      <c r="Q43" s="19">
        <v>231.84</v>
      </c>
      <c r="R43" s="14">
        <v>380.67</v>
      </c>
      <c r="S43" s="23">
        <v>0.0688</v>
      </c>
      <c r="T43" s="47">
        <v>246.75</v>
      </c>
      <c r="U43" s="47">
        <v>431.87</v>
      </c>
      <c r="V43" s="28">
        <v>0.0738</v>
      </c>
    </row>
    <row r="44" ht="14.6" spans="2:33">
      <c r="B44" s="63" t="s">
        <v>23</v>
      </c>
      <c r="C44" s="52">
        <v>117.36</v>
      </c>
      <c r="D44" s="52">
        <v>276.66</v>
      </c>
      <c r="E44" s="31">
        <v>0.3156</v>
      </c>
      <c r="F44" s="64">
        <v>77.73</v>
      </c>
      <c r="G44" s="34">
        <v>193</v>
      </c>
      <c r="H44" s="35">
        <v>0.214</v>
      </c>
      <c r="I44" s="64">
        <v>79.88</v>
      </c>
      <c r="J44" s="64">
        <v>198.44</v>
      </c>
      <c r="K44" s="35">
        <v>0.2196</v>
      </c>
      <c r="L44" s="32"/>
      <c r="M44" s="52" t="s">
        <v>23</v>
      </c>
      <c r="N44" s="52">
        <v>117.31</v>
      </c>
      <c r="O44" s="52">
        <v>290.27</v>
      </c>
      <c r="P44" s="31">
        <v>0.3149</v>
      </c>
      <c r="Q44" s="52">
        <v>83.55</v>
      </c>
      <c r="R44" s="30">
        <v>202.22</v>
      </c>
      <c r="S44" s="31">
        <v>0.2299</v>
      </c>
      <c r="T44" s="52">
        <v>84.81</v>
      </c>
      <c r="U44" s="52">
        <v>206.19</v>
      </c>
      <c r="V44" s="53">
        <v>0.2331</v>
      </c>
    </row>
    <row r="46" spans="2:33">
      <c r="B46" s="1" t="s">
        <v>32</v>
      </c>
      <c r="C46" s="2"/>
      <c r="D46" s="2"/>
      <c r="E46" s="2"/>
      <c r="F46" s="3"/>
    </row>
    <row r="47" spans="2:33">
      <c r="B47" s="42" t="s">
        <v>1</v>
      </c>
      <c r="C47" s="9" t="s">
        <v>33</v>
      </c>
      <c r="D47" s="9"/>
      <c r="E47" s="9"/>
      <c r="F47" s="12"/>
      <c r="G47" s="65"/>
    </row>
    <row r="48" spans="2:33">
      <c r="B48" s="51"/>
      <c r="C48" s="14" t="s">
        <v>34</v>
      </c>
      <c r="D48" s="14" t="s">
        <v>35</v>
      </c>
      <c r="E48" s="14" t="s">
        <v>36</v>
      </c>
      <c r="F48" s="16" t="s">
        <v>37</v>
      </c>
    </row>
    <row r="49" spans="2:33">
      <c r="B49" s="51" t="s">
        <v>22</v>
      </c>
      <c r="C49" s="66">
        <v>0.0768</v>
      </c>
      <c r="D49" s="66">
        <v>0.0888</v>
      </c>
      <c r="E49" s="46">
        <v>0.9853</v>
      </c>
      <c r="F49" s="28">
        <v>0.9824</v>
      </c>
    </row>
    <row r="50" ht="14.6" spans="2:33">
      <c r="B50" s="29" t="s">
        <v>23</v>
      </c>
      <c r="C50" s="67">
        <v>0.0017</v>
      </c>
      <c r="D50" s="67">
        <v>0.1331</v>
      </c>
      <c r="E50" s="31">
        <v>0.9995</v>
      </c>
      <c r="F50" s="53">
        <v>0.9483</v>
      </c>
    </row>
    <row r="52" ht="14.6" spans="2:33">
      <c r="B52" s="1" t="s">
        <v>38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3"/>
    </row>
    <row r="53" spans="2:33">
      <c r="B53" s="38" t="s">
        <v>1</v>
      </c>
      <c r="C53" s="5" t="s">
        <v>39</v>
      </c>
      <c r="D53" s="5"/>
      <c r="E53" s="5"/>
      <c r="F53" s="5"/>
      <c r="G53" s="5"/>
      <c r="H53" s="5"/>
      <c r="I53" s="5"/>
      <c r="J53" s="5"/>
      <c r="K53" s="5"/>
      <c r="L53" s="6"/>
      <c r="M53" s="5" t="s">
        <v>1</v>
      </c>
      <c r="N53" s="5" t="s">
        <v>40</v>
      </c>
      <c r="O53" s="5"/>
      <c r="P53" s="5"/>
      <c r="Q53" s="5"/>
      <c r="R53" s="5"/>
      <c r="S53" s="5"/>
      <c r="T53" s="5"/>
      <c r="U53" s="5"/>
      <c r="V53" s="8"/>
      <c r="X53" s="9" t="s">
        <v>1</v>
      </c>
      <c r="Y53" s="9" t="s">
        <v>41</v>
      </c>
      <c r="Z53" s="9"/>
      <c r="AA53" s="9"/>
      <c r="AB53" s="9"/>
      <c r="AC53" s="9"/>
      <c r="AD53" s="9"/>
      <c r="AE53" s="9"/>
      <c r="AF53" s="9"/>
      <c r="AG53" s="9"/>
    </row>
    <row r="54" spans="2:33">
      <c r="B54" s="42"/>
      <c r="C54" s="9" t="s">
        <v>5</v>
      </c>
      <c r="D54" s="9"/>
      <c r="E54" s="9"/>
      <c r="F54" s="9" t="s">
        <v>6</v>
      </c>
      <c r="G54" s="9"/>
      <c r="H54" s="9"/>
      <c r="I54" s="9" t="s">
        <v>7</v>
      </c>
      <c r="J54" s="9"/>
      <c r="K54" s="9"/>
      <c r="M54" s="9"/>
      <c r="N54" s="9" t="s">
        <v>5</v>
      </c>
      <c r="O54" s="9"/>
      <c r="P54" s="9"/>
      <c r="Q54" s="9" t="s">
        <v>6</v>
      </c>
      <c r="R54" s="9"/>
      <c r="S54" s="9"/>
      <c r="T54" s="9" t="s">
        <v>7</v>
      </c>
      <c r="U54" s="9"/>
      <c r="V54" s="12"/>
      <c r="X54" s="9"/>
      <c r="Y54" s="9" t="s">
        <v>5</v>
      </c>
      <c r="Z54" s="9"/>
      <c r="AA54" s="9"/>
      <c r="AB54" s="9" t="s">
        <v>6</v>
      </c>
      <c r="AC54" s="9"/>
      <c r="AD54" s="9"/>
      <c r="AE54" s="9" t="s">
        <v>7</v>
      </c>
      <c r="AF54" s="9"/>
      <c r="AG54" s="9"/>
    </row>
    <row r="55" spans="2:33">
      <c r="B55" s="42"/>
      <c r="C55" s="14" t="s">
        <v>8</v>
      </c>
      <c r="D55" s="14" t="s">
        <v>9</v>
      </c>
      <c r="E55" s="14" t="s">
        <v>10</v>
      </c>
      <c r="F55" s="14" t="s">
        <v>8</v>
      </c>
      <c r="G55" s="14" t="s">
        <v>9</v>
      </c>
      <c r="H55" s="14" t="s">
        <v>10</v>
      </c>
      <c r="I55" s="14" t="s">
        <v>8</v>
      </c>
      <c r="J55" s="14" t="s">
        <v>9</v>
      </c>
      <c r="K55" s="14" t="s">
        <v>10</v>
      </c>
      <c r="M55" s="9"/>
      <c r="N55" s="14" t="s">
        <v>8</v>
      </c>
      <c r="O55" s="14" t="s">
        <v>9</v>
      </c>
      <c r="P55" s="14" t="s">
        <v>10</v>
      </c>
      <c r="Q55" s="14" t="s">
        <v>8</v>
      </c>
      <c r="R55" s="14" t="s">
        <v>9</v>
      </c>
      <c r="S55" s="14" t="s">
        <v>10</v>
      </c>
      <c r="T55" s="14" t="s">
        <v>8</v>
      </c>
      <c r="U55" s="14" t="s">
        <v>9</v>
      </c>
      <c r="V55" s="16" t="s">
        <v>10</v>
      </c>
      <c r="X55" s="9"/>
      <c r="Y55" s="14" t="s">
        <v>8</v>
      </c>
      <c r="Z55" s="14" t="s">
        <v>9</v>
      </c>
      <c r="AA55" s="14" t="s">
        <v>10</v>
      </c>
      <c r="AB55" s="14" t="s">
        <v>8</v>
      </c>
      <c r="AC55" s="14" t="s">
        <v>9</v>
      </c>
      <c r="AD55" s="14" t="s">
        <v>10</v>
      </c>
      <c r="AE55" s="14" t="s">
        <v>8</v>
      </c>
      <c r="AF55" s="14" t="s">
        <v>9</v>
      </c>
      <c r="AG55" s="14" t="s">
        <v>10</v>
      </c>
    </row>
    <row r="56" spans="2:33">
      <c r="B56" s="17" t="s">
        <v>22</v>
      </c>
      <c r="C56" s="19">
        <v>482.47</v>
      </c>
      <c r="D56" s="19">
        <v>910.73</v>
      </c>
      <c r="E56" s="20">
        <v>0.1769</v>
      </c>
      <c r="F56" s="47">
        <v>214.26</v>
      </c>
      <c r="G56" s="14">
        <v>337.49</v>
      </c>
      <c r="H56" s="20">
        <v>0.0635</v>
      </c>
      <c r="I56" s="47">
        <v>226.88</v>
      </c>
      <c r="J56" s="47">
        <v>384.14</v>
      </c>
      <c r="K56" s="20">
        <v>0.0678</v>
      </c>
      <c r="M56" s="14" t="s">
        <v>22</v>
      </c>
      <c r="N56" s="21">
        <v>477.26</v>
      </c>
      <c r="O56" s="21">
        <v>872.25</v>
      </c>
      <c r="P56" s="23">
        <v>0.1912</v>
      </c>
      <c r="Q56" s="14">
        <v>229.18</v>
      </c>
      <c r="R56" s="47">
        <v>337.08</v>
      </c>
      <c r="S56" s="23">
        <v>0.068</v>
      </c>
      <c r="T56" s="14">
        <v>235.66</v>
      </c>
      <c r="U56" s="14">
        <v>397.91</v>
      </c>
      <c r="V56" s="28">
        <v>0.0704</v>
      </c>
      <c r="X56" s="25" t="s">
        <v>22</v>
      </c>
      <c r="Y56" s="45">
        <f>C56-N56</f>
        <v>5.21000000000004</v>
      </c>
      <c r="Z56" s="45">
        <f t="shared" ref="Z56:AG56" si="10">D56-O56</f>
        <v>38.48</v>
      </c>
      <c r="AA56" s="46">
        <f t="shared" si="10"/>
        <v>-0.0143</v>
      </c>
      <c r="AB56" s="45">
        <f t="shared" si="10"/>
        <v>-14.92</v>
      </c>
      <c r="AC56" s="45">
        <f t="shared" si="10"/>
        <v>0.410000000000025</v>
      </c>
      <c r="AD56" s="46">
        <f t="shared" si="10"/>
        <v>-0.0045</v>
      </c>
      <c r="AE56" s="45">
        <f t="shared" si="10"/>
        <v>-8.78</v>
      </c>
      <c r="AF56" s="45">
        <f t="shared" si="10"/>
        <v>-13.77</v>
      </c>
      <c r="AG56" s="46">
        <f t="shared" si="10"/>
        <v>-0.00260000000000001</v>
      </c>
    </row>
    <row r="57" ht="14.6" spans="2:33">
      <c r="B57" s="29" t="s">
        <v>23</v>
      </c>
      <c r="C57" s="34">
        <v>109.17</v>
      </c>
      <c r="D57" s="34">
        <v>261.23</v>
      </c>
      <c r="E57" s="35">
        <v>0.2936</v>
      </c>
      <c r="F57" s="52">
        <v>79.49</v>
      </c>
      <c r="G57" s="52">
        <v>197.89</v>
      </c>
      <c r="H57" s="31">
        <v>0.2188</v>
      </c>
      <c r="I57" s="30">
        <v>81.1</v>
      </c>
      <c r="J57" s="52">
        <v>201.83</v>
      </c>
      <c r="K57" s="31">
        <v>0.223</v>
      </c>
      <c r="L57" s="32"/>
      <c r="M57" s="33" t="s">
        <v>23</v>
      </c>
      <c r="N57" s="30">
        <v>113.27</v>
      </c>
      <c r="O57" s="30">
        <v>282.31</v>
      </c>
      <c r="P57" s="31">
        <v>0.304</v>
      </c>
      <c r="Q57" s="64">
        <v>78.89</v>
      </c>
      <c r="R57" s="64">
        <v>196.78</v>
      </c>
      <c r="S57" s="35">
        <v>0.2171</v>
      </c>
      <c r="T57" s="34">
        <v>80.18</v>
      </c>
      <c r="U57" s="64">
        <v>200.63</v>
      </c>
      <c r="V57" s="36">
        <v>0.2204</v>
      </c>
      <c r="X57" s="25" t="s">
        <v>23</v>
      </c>
      <c r="Y57" s="45">
        <f>C57-N57</f>
        <v>-4.09999999999999</v>
      </c>
      <c r="Z57" s="45">
        <f t="shared" ref="Z57:AG57" si="11">D57-O57</f>
        <v>-21.08</v>
      </c>
      <c r="AA57" s="46">
        <f t="shared" si="11"/>
        <v>-0.0104</v>
      </c>
      <c r="AB57" s="45">
        <f t="shared" si="11"/>
        <v>0.599999999999994</v>
      </c>
      <c r="AC57" s="45">
        <f t="shared" si="11"/>
        <v>1.10999999999999</v>
      </c>
      <c r="AD57" s="46">
        <f t="shared" si="11"/>
        <v>0.00169999999999998</v>
      </c>
      <c r="AE57" s="45">
        <f t="shared" si="11"/>
        <v>0.919999999999987</v>
      </c>
      <c r="AF57" s="45">
        <f t="shared" si="11"/>
        <v>1.20000000000002</v>
      </c>
      <c r="AG57" s="46">
        <f t="shared" si="11"/>
        <v>0.00260000000000002</v>
      </c>
    </row>
  </sheetData>
  <mergeCells count="103">
    <mergeCell ref="B2:V2"/>
    <mergeCell ref="C3:K3"/>
    <mergeCell ref="N3:V3"/>
    <mergeCell ref="Y3:AG3"/>
    <mergeCell ref="C4:E4"/>
    <mergeCell ref="F4:H4"/>
    <mergeCell ref="I4:K4"/>
    <mergeCell ref="N4:P4"/>
    <mergeCell ref="Q4:S4"/>
    <mergeCell ref="T4:V4"/>
    <mergeCell ref="Y4:AA4"/>
    <mergeCell ref="AB4:AD4"/>
    <mergeCell ref="AE4:AG4"/>
    <mergeCell ref="B10:V10"/>
    <mergeCell ref="C11:K11"/>
    <mergeCell ref="N11:V11"/>
    <mergeCell ref="Y11:AG11"/>
    <mergeCell ref="C12:E12"/>
    <mergeCell ref="F12:H12"/>
    <mergeCell ref="I12:K12"/>
    <mergeCell ref="N12:P12"/>
    <mergeCell ref="Q12:S12"/>
    <mergeCell ref="T12:V12"/>
    <mergeCell ref="Y12:AA12"/>
    <mergeCell ref="AB12:AD12"/>
    <mergeCell ref="AE12:AG12"/>
    <mergeCell ref="B18:V18"/>
    <mergeCell ref="C19:K19"/>
    <mergeCell ref="N19:V19"/>
    <mergeCell ref="Y19:AG19"/>
    <mergeCell ref="C20:E20"/>
    <mergeCell ref="F20:H20"/>
    <mergeCell ref="I20:K20"/>
    <mergeCell ref="N20:P20"/>
    <mergeCell ref="Q20:S20"/>
    <mergeCell ref="T20:V20"/>
    <mergeCell ref="Y20:AA20"/>
    <mergeCell ref="AB20:AD20"/>
    <mergeCell ref="AE20:AG20"/>
    <mergeCell ref="C26:K26"/>
    <mergeCell ref="N26:V26"/>
    <mergeCell ref="C27:E27"/>
    <mergeCell ref="F27:H27"/>
    <mergeCell ref="I27:K27"/>
    <mergeCell ref="N27:P27"/>
    <mergeCell ref="Q27:S27"/>
    <mergeCell ref="T27:V27"/>
    <mergeCell ref="B32:V32"/>
    <mergeCell ref="B33:K33"/>
    <mergeCell ref="M33:V33"/>
    <mergeCell ref="X33:AG33"/>
    <mergeCell ref="C34:E34"/>
    <mergeCell ref="F34:H34"/>
    <mergeCell ref="I34:K34"/>
    <mergeCell ref="N34:P34"/>
    <mergeCell ref="Q34:S34"/>
    <mergeCell ref="T34:V34"/>
    <mergeCell ref="Y34:AA34"/>
    <mergeCell ref="AB34:AD34"/>
    <mergeCell ref="AE34:AG34"/>
    <mergeCell ref="B40:K40"/>
    <mergeCell ref="M40:V40"/>
    <mergeCell ref="C41:E41"/>
    <mergeCell ref="F41:H41"/>
    <mergeCell ref="I41:K41"/>
    <mergeCell ref="N41:P41"/>
    <mergeCell ref="Q41:S41"/>
    <mergeCell ref="T41:V41"/>
    <mergeCell ref="B46:F46"/>
    <mergeCell ref="C47:F47"/>
    <mergeCell ref="B52:V52"/>
    <mergeCell ref="C53:K53"/>
    <mergeCell ref="N53:V53"/>
    <mergeCell ref="Y53:AG53"/>
    <mergeCell ref="C54:E54"/>
    <mergeCell ref="F54:H54"/>
    <mergeCell ref="I54:K54"/>
    <mergeCell ref="N54:P54"/>
    <mergeCell ref="Q54:S54"/>
    <mergeCell ref="T54:V54"/>
    <mergeCell ref="Y54:AA54"/>
    <mergeCell ref="AB54:AD54"/>
    <mergeCell ref="AE54:AG54"/>
    <mergeCell ref="B3:B5"/>
    <mergeCell ref="B11:B13"/>
    <mergeCell ref="B19:B21"/>
    <mergeCell ref="B26:B28"/>
    <mergeCell ref="B34:B35"/>
    <mergeCell ref="B41:B42"/>
    <mergeCell ref="B47:B48"/>
    <mergeCell ref="B53:B55"/>
    <mergeCell ref="M3:M5"/>
    <mergeCell ref="M11:M13"/>
    <mergeCell ref="M19:M21"/>
    <mergeCell ref="M26:M28"/>
    <mergeCell ref="M34:M35"/>
    <mergeCell ref="M41:M42"/>
    <mergeCell ref="M53:M55"/>
    <mergeCell ref="X3:X5"/>
    <mergeCell ref="X11:X13"/>
    <mergeCell ref="X19:X21"/>
    <mergeCell ref="X34:X35"/>
    <mergeCell ref="X53:X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书宇 刘</dc:creator>
  <cp:lastModifiedBy>。</cp:lastModifiedBy>
  <dcterms:created xsi:type="dcterms:W3CDTF">2025-12-15T06:23:00Z</dcterms:created>
  <dcterms:modified xsi:type="dcterms:W3CDTF">2026-01-07T04:01:08Z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E8F2856FDE17441B82A9C53E859963DD_12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